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olors1.xml" ContentType="application/vnd.ms-office.chartcolorstyle+xml"/>
  <Override PartName="/xl/charts/style1.xml" ContentType="application/vnd.ms-office.chartstyle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540"/>
  </bookViews>
  <sheets>
    <sheet name="Sheet1" sheetId="1" r:id="rId1"/>
  </sheets>
  <calcPr calcId="144525"/>
</workbook>
</file>

<file path=xl/sharedStrings.xml><?xml version="1.0" encoding="utf-8"?>
<sst xmlns="http://schemas.openxmlformats.org/spreadsheetml/2006/main" count="28" uniqueCount="28">
  <si>
    <t>学习系数</t>
  </si>
  <si>
    <t>输入到隐藏层</t>
  </si>
  <si>
    <t>隐藏层到输出层</t>
  </si>
  <si>
    <t>输入神经元x</t>
  </si>
  <si>
    <t>偏置(B1-B6)</t>
  </si>
  <si>
    <t>Bi更新后</t>
  </si>
  <si>
    <t>Bi导数</t>
  </si>
  <si>
    <t>Bi需要调整的幅度</t>
  </si>
  <si>
    <t>W1-W6</t>
  </si>
  <si>
    <t>Wi更新后</t>
  </si>
  <si>
    <t>W导数</t>
  </si>
  <si>
    <t>W调整幅度</t>
  </si>
  <si>
    <t>加权和g</t>
  </si>
  <si>
    <t>隐藏层输出值x'</t>
  </si>
  <si>
    <t>W'1-W'6</t>
  </si>
  <si>
    <t>Wi‘更新后</t>
  </si>
  <si>
    <t>W'导数</t>
  </si>
  <si>
    <t>W'调整幅度</t>
  </si>
  <si>
    <t>输出加权和g'</t>
  </si>
  <si>
    <t>最终输出值o</t>
  </si>
  <si>
    <t>目标值T</t>
  </si>
  <si>
    <t>误差平方Error</t>
  </si>
  <si>
    <t>dError/db</t>
  </si>
  <si>
    <t>偏置B</t>
  </si>
  <si>
    <t>B更新后</t>
  </si>
  <si>
    <t>B导数</t>
  </si>
  <si>
    <t>B需要调整的幅度</t>
  </si>
  <si>
    <t xml:space="preserve">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</si>
</sst>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1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3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9C6500"/>
      <name val="等线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7" fillId="9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0" fillId="16" borderId="4" applyNumberFormat="0" applyFont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5" fillId="0" borderId="5" applyNumberFormat="0" applyFill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16" fillId="26" borderId="7" applyNumberFormat="0" applyAlignment="0" applyProtection="0">
      <alignment vertical="center"/>
    </xf>
    <xf numFmtId="0" fontId="17" fillId="26" borderId="2" applyNumberFormat="0" applyAlignment="0" applyProtection="0">
      <alignment vertical="center"/>
    </xf>
    <xf numFmtId="0" fontId="18" fillId="27" borderId="8" applyNumberFormat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9" fillId="0" borderId="9" applyNumberFormat="0" applyFill="0" applyAlignment="0" applyProtection="0">
      <alignment vertical="center"/>
    </xf>
    <xf numFmtId="0" fontId="4" fillId="7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" fillId="24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2" fillId="23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7" borderId="0" applyNumberFormat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" fillId="32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</cellStyleXfs>
  <cellXfs count="6">
    <xf numFmtId="0" fontId="0" fillId="0" borderId="0" xfId="0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2" borderId="0" xfId="0" applyFill="1"/>
    <xf numFmtId="0" fontId="0" fillId="0" borderId="1" xfId="0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zh-CN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误差趋势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Sheet1!$AD$1:$AD$100</c:f>
              <c:numCache>
                <c:formatCode>General</c:formatCode>
                <c:ptCount val="100"/>
                <c:pt idx="0">
                  <c:v>32467.6305581621</c:v>
                </c:pt>
                <c:pt idx="1">
                  <c:v>31380.2808052515</c:v>
                </c:pt>
                <c:pt idx="2">
                  <c:v>30240.5314908847</c:v>
                </c:pt>
                <c:pt idx="3">
                  <c:v>29049.858216248</c:v>
                </c:pt>
                <c:pt idx="4">
                  <c:v>27810.872676889</c:v>
                </c:pt>
                <c:pt idx="5">
                  <c:v>26527.383243269</c:v>
                </c:pt>
                <c:pt idx="6">
                  <c:v>25204.4242342178</c:v>
                </c:pt>
                <c:pt idx="7">
                  <c:v>23848.2456077201</c:v>
                </c:pt>
                <c:pt idx="8">
                  <c:v>22466.2559522592</c:v>
                </c:pt>
                <c:pt idx="9">
                  <c:v>21066.9137445421</c:v>
                </c:pt>
                <c:pt idx="10">
                  <c:v>19659.5648466463</c:v>
                </c:pt>
                <c:pt idx="11">
                  <c:v>18254.2280155175</c:v>
                </c:pt>
                <c:pt idx="12">
                  <c:v>16861.33450945</c:v>
                </c:pt>
                <c:pt idx="13">
                  <c:v>15491.4322790182</c:v>
                </c:pt>
                <c:pt idx="14">
                  <c:v>14154.8692036392</c:v>
                </c:pt>
                <c:pt idx="15">
                  <c:v>12861.4728303626</c:v>
                </c:pt>
                <c:pt idx="16">
                  <c:v>11620.245602157</c:v>
                </c:pt>
                <c:pt idx="17">
                  <c:v>10439.094300553</c:v>
                </c:pt>
                <c:pt idx="18">
                  <c:v>9324.610278665</c:v>
                </c:pt>
                <c:pt idx="19">
                  <c:v>8281.91320458816</c:v>
                </c:pt>
                <c:pt idx="20">
                  <c:v>7314.56590887023</c:v>
                </c:pt>
                <c:pt idx="21">
                  <c:v>6424.56216001895</c:v>
                </c:pt>
                <c:pt idx="22">
                  <c:v>5612.38348851459</c:v>
                </c:pt>
                <c:pt idx="23">
                  <c:v>4877.1162129908</c:v>
                </c:pt>
                <c:pt idx="24">
                  <c:v>4216.61611397373</c:v>
                </c:pt>
                <c:pt idx="25">
                  <c:v>3627.70605098972</c:v>
                </c:pt>
                <c:pt idx="26">
                  <c:v>3106.39128221089</c:v>
                </c:pt>
                <c:pt idx="27">
                  <c:v>2648.0781545144</c:v>
                </c:pt>
                <c:pt idx="28">
                  <c:v>2247.78385683794</c:v>
                </c:pt>
                <c:pt idx="29">
                  <c:v>1900.32765872979</c:v>
                </c:pt>
                <c:pt idx="30">
                  <c:v>1600.49707055615</c:v>
                </c:pt>
                <c:pt idx="31">
                  <c:v>1343.18529858876</c:v>
                </c:pt>
                <c:pt idx="32">
                  <c:v>1123.49895665899</c:v>
                </c:pt>
                <c:pt idx="33">
                  <c:v>936.837071984287</c:v>
                </c:pt>
                <c:pt idx="34">
                  <c:v>778.943921545071</c:v>
                </c:pt>
                <c:pt idx="35">
                  <c:v>645.939172452575</c:v>
                </c:pt>
                <c:pt idx="36">
                  <c:v>534.329245267494</c:v>
                </c:pt>
                <c:pt idx="37">
                  <c:v>441.003873028982</c:v>
                </c:pt>
                <c:pt idx="38">
                  <c:v>363.221599336432</c:v>
                </c:pt>
                <c:pt idx="39">
                  <c:v>298.587548277387</c:v>
                </c:pt>
                <c:pt idx="40">
                  <c:v>245.026293895304</c:v>
                </c:pt>
                <c:pt idx="41">
                  <c:v>200.752124351906</c:v>
                </c:pt>
                <c:pt idx="42">
                  <c:v>164.23848339436</c:v>
                </c:pt>
                <c:pt idx="43">
                  <c:v>134.187909097736</c:v>
                </c:pt>
                <c:pt idx="44">
                  <c:v>109.503392830507</c:v>
                </c:pt>
                <c:pt idx="45">
                  <c:v>89.2617551229901</c:v>
                </c:pt>
                <c:pt idx="46">
                  <c:v>72.689377532294</c:v>
                </c:pt>
                <c:pt idx="47">
                  <c:v>59.1404342214914</c:v>
                </c:pt>
                <c:pt idx="48">
                  <c:v>48.077625100899</c:v>
                </c:pt>
                <c:pt idx="49">
                  <c:v>39.0553146176074</c:v>
                </c:pt>
                <c:pt idx="50">
                  <c:v>31.7049175402302</c:v>
                </c:pt>
                <c:pt idx="51">
                  <c:v>25.7223371813354</c:v>
                </c:pt>
                <c:pt idx="52">
                  <c:v>20.8572454191169</c:v>
                </c:pt>
                <c:pt idx="53">
                  <c:v>16.9039918586948</c:v>
                </c:pt>
                <c:pt idx="54">
                  <c:v>13.6939369369787</c:v>
                </c:pt>
                <c:pt idx="55">
                  <c:v>11.0890172072382</c:v>
                </c:pt>
                <c:pt idx="56">
                  <c:v>8.97636782296041</c:v>
                </c:pt>
                <c:pt idx="57">
                  <c:v>7.26384549196256</c:v>
                </c:pt>
                <c:pt idx="58">
                  <c:v>5.87631358797161</c:v>
                </c:pt>
                <c:pt idx="59">
                  <c:v>4.75256883060931</c:v>
                </c:pt>
                <c:pt idx="60">
                  <c:v>3.84280545105765</c:v>
                </c:pt>
                <c:pt idx="61">
                  <c:v>3.1065277657799</c:v>
                </c:pt>
                <c:pt idx="62">
                  <c:v>2.51083546986621</c:v>
                </c:pt>
                <c:pt idx="63">
                  <c:v>2.02901773418688</c:v>
                </c:pt>
                <c:pt idx="64">
                  <c:v>1.63940241895654</c:v>
                </c:pt>
                <c:pt idx="65">
                  <c:v>1.32441551600082</c:v>
                </c:pt>
                <c:pt idx="66">
                  <c:v>1.06981344045831</c:v>
                </c:pt>
                <c:pt idx="67">
                  <c:v>0.864057154852344</c:v>
                </c:pt>
                <c:pt idx="68">
                  <c:v>0.697802467481658</c:v>
                </c:pt>
                <c:pt idx="69">
                  <c:v>0.563485338073694</c:v>
                </c:pt>
                <c:pt idx="70">
                  <c:v>0.454984770637004</c:v>
                </c:pt>
                <c:pt idx="71">
                  <c:v>0.367348987711421</c:v>
                </c:pt>
                <c:pt idx="72">
                  <c:v>0.296573159919743</c:v>
                </c:pt>
                <c:pt idx="73">
                  <c:v>0.239419095376646</c:v>
                </c:pt>
                <c:pt idx="74">
                  <c:v>0.19326904872395</c:v>
                </c:pt>
                <c:pt idx="75">
                  <c:v>0.156007252217655</c:v>
                </c:pt>
                <c:pt idx="76">
                  <c:v>0.12592395466431</c:v>
                </c:pt>
                <c:pt idx="77">
                  <c:v>0.101637722967417</c:v>
                </c:pt>
                <c:pt idx="78">
                  <c:v>0.0820325532014849</c:v>
                </c:pt>
                <c:pt idx="79">
                  <c:v>0.0662069848311093</c:v>
                </c:pt>
                <c:pt idx="80">
                  <c:v>0.0534329389944416</c:v>
                </c:pt>
                <c:pt idx="81">
                  <c:v>0.0431224312375516</c:v>
                </c:pt>
                <c:pt idx="82">
                  <c:v>0.0348006585280927</c:v>
                </c:pt>
                <c:pt idx="83">
                  <c:v>0.0280842444551484</c:v>
                </c:pt>
                <c:pt idx="84">
                  <c:v>0.0226636572799235</c:v>
                </c:pt>
                <c:pt idx="85">
                  <c:v>0.018289002818589</c:v>
                </c:pt>
                <c:pt idx="86">
                  <c:v>0.0147585460944025</c:v>
                </c:pt>
                <c:pt idx="87">
                  <c:v>0.0119094388990781</c:v>
                </c:pt>
                <c:pt idx="88">
                  <c:v>0.00961023024251286</c:v>
                </c:pt>
                <c:pt idx="89">
                  <c:v>0.00775481754109417</c:v>
                </c:pt>
                <c:pt idx="90">
                  <c:v>0.00625756187372064</c:v>
                </c:pt>
                <c:pt idx="91">
                  <c:v>0.00504934363300357</c:v>
                </c:pt>
                <c:pt idx="92">
                  <c:v>0.00407437778203178</c:v>
                </c:pt>
                <c:pt idx="93">
                  <c:v>0.00328764261344284</c:v>
                </c:pt>
                <c:pt idx="94">
                  <c:v>0.00265280395991919</c:v>
                </c:pt>
                <c:pt idx="95">
                  <c:v>0.00214053948334781</c:v>
                </c:pt>
                <c:pt idx="96">
                  <c:v>0.00172718600306512</c:v>
                </c:pt>
                <c:pt idx="97">
                  <c:v>0.00139364763887455</c:v>
                </c:pt>
                <c:pt idx="98">
                  <c:v>0.00112451451665781</c:v>
                </c:pt>
                <c:pt idx="99">
                  <c:v>0.000907351456373817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511452143"/>
        <c:axId val="749783743"/>
      </c:lineChart>
      <c:catAx>
        <c:axId val="51145214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9783743"/>
        <c:crosses val="autoZero"/>
        <c:auto val="1"/>
        <c:lblAlgn val="ctr"/>
        <c:lblOffset val="100"/>
        <c:noMultiLvlLbl val="0"/>
      </c:catAx>
      <c:valAx>
        <c:axId val="74978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11452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8</xdr:col>
      <xdr:colOff>167005</xdr:colOff>
      <xdr:row>11</xdr:row>
      <xdr:rowOff>64135</xdr:rowOff>
    </xdr:from>
    <xdr:to>
      <xdr:col>24</xdr:col>
      <xdr:colOff>668655</xdr:colOff>
      <xdr:row>46</xdr:row>
      <xdr:rowOff>149860</xdr:rowOff>
    </xdr:to>
    <xdr:pic>
      <xdr:nvPicPr>
        <xdr:cNvPr id="9" name="图片 8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6186170" y="2054860"/>
          <a:ext cx="12344400" cy="6419850"/>
        </a:xfrm>
        <a:prstGeom prst="rect">
          <a:avLst/>
        </a:prstGeom>
        <a:noFill/>
        <a:ln w="9525">
          <a:noFill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</xdr:colOff>
          <xdr:row>11</xdr:row>
          <xdr:rowOff>53340</xdr:rowOff>
        </xdr:from>
        <xdr:to>
          <xdr:col>2</xdr:col>
          <xdr:colOff>259080</xdr:colOff>
          <xdr:row>13</xdr:row>
          <xdr:rowOff>30480</xdr:rowOff>
        </xdr:to>
        <xdr:sp macro="[0]!Train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891540" y="2044065"/>
              <a:ext cx="891540" cy="33909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anose="020F0502020204030204"/>
                  <a:cs typeface="Calibri" panose="020F0502020204030204"/>
                </a:rPr>
                <a:t>Button 13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 panose="020F0502020204030204"/>
                <a:cs typeface="Calibri" panose="020F0502020204030204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777240</xdr:colOff>
      <xdr:row>14</xdr:row>
      <xdr:rowOff>62230</xdr:rowOff>
    </xdr:from>
    <xdr:to>
      <xdr:col>6</xdr:col>
      <xdr:colOff>155575</xdr:colOff>
      <xdr:row>23</xdr:row>
      <xdr:rowOff>0</xdr:rowOff>
    </xdr:to>
    <xdr:graphicFrame>
      <xdr:nvGraphicFramePr>
        <xdr:cNvPr id="5" name="Chart 4"/>
        <xdr:cNvGraphicFramePr/>
      </xdr:nvGraphicFramePr>
      <xdr:xfrm>
        <a:off x="777240" y="2595880"/>
        <a:ext cx="4025900" cy="15665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240030</xdr:colOff>
      <xdr:row>32</xdr:row>
      <xdr:rowOff>149225</xdr:rowOff>
    </xdr:from>
    <xdr:to>
      <xdr:col>13</xdr:col>
      <xdr:colOff>73660</xdr:colOff>
      <xdr:row>43</xdr:row>
      <xdr:rowOff>61595</xdr:rowOff>
    </xdr:to>
    <xdr:pic>
      <xdr:nvPicPr>
        <xdr:cNvPr id="6" name="图片 5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6944995" y="5940425"/>
          <a:ext cx="2576830" cy="190309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10</xdr:col>
      <xdr:colOff>284480</xdr:colOff>
      <xdr:row>43</xdr:row>
      <xdr:rowOff>178435</xdr:rowOff>
    </xdr:from>
    <xdr:to>
      <xdr:col>11</xdr:col>
      <xdr:colOff>495935</xdr:colOff>
      <xdr:row>46</xdr:row>
      <xdr:rowOff>51435</xdr:rowOff>
    </xdr:to>
    <xdr:sp>
      <xdr:nvSpPr>
        <xdr:cNvPr id="7" name="文本框 6"/>
        <xdr:cNvSpPr txBox="1"/>
      </xdr:nvSpPr>
      <xdr:spPr>
        <a:xfrm>
          <a:off x="7675245" y="7960360"/>
          <a:ext cx="897255" cy="4159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en-US" altLang="zh-CN" sz="1200"/>
            <a:t>LeakyReLu</a:t>
          </a:r>
          <a:r>
            <a:rPr lang="zh-CN" altLang="en-US" sz="1200"/>
            <a:t>激活函数</a:t>
          </a:r>
          <a:endParaRPr lang="zh-CN" altLang="en-US" sz="12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D100"/>
  <sheetViews>
    <sheetView tabSelected="1" zoomScale="90" zoomScaleNormal="90" workbookViewId="0">
      <selection activeCell="AD100" sqref="AD100"/>
    </sheetView>
  </sheetViews>
  <sheetFormatPr defaultColWidth="9" defaultRowHeight="14.25"/>
  <cols>
    <col min="1" max="1" width="11" customWidth="1"/>
    <col min="3" max="3" width="10.775" customWidth="1"/>
    <col min="6" max="6" width="12.2166666666667" customWidth="1"/>
    <col min="15" max="15" width="13.1083333333333" customWidth="1"/>
    <col min="19" max="19" width="10.1083333333333" customWidth="1"/>
    <col min="21" max="21" width="13.2" customWidth="1"/>
    <col min="24" max="25" width="11" customWidth="1"/>
    <col min="27" max="27" width="11" customWidth="1"/>
  </cols>
  <sheetData>
    <row r="1" spans="1:30">
      <c r="A1" t="s">
        <v>0</v>
      </c>
      <c r="B1">
        <v>0.01</v>
      </c>
      <c r="AD1">
        <v>32467.6305581621</v>
      </c>
    </row>
    <row r="2" spans="3:30">
      <c r="C2" s="1" t="s">
        <v>1</v>
      </c>
      <c r="D2" s="2"/>
      <c r="E2" s="2"/>
      <c r="F2" s="2"/>
      <c r="G2" s="2"/>
      <c r="H2" s="2"/>
      <c r="I2" s="2"/>
      <c r="J2" s="2"/>
      <c r="K2" s="2"/>
      <c r="L2" s="4"/>
      <c r="M2" s="4"/>
      <c r="N2" s="4"/>
      <c r="O2" s="4"/>
      <c r="R2" s="1" t="s">
        <v>2</v>
      </c>
      <c r="S2" s="2"/>
      <c r="T2" s="2"/>
      <c r="U2" s="2"/>
      <c r="V2" s="2"/>
      <c r="W2" s="2"/>
      <c r="X2" s="2"/>
      <c r="Y2" s="2"/>
      <c r="Z2" s="2"/>
      <c r="AA2" s="2"/>
      <c r="AB2" s="2"/>
      <c r="AD2">
        <v>31380.2808052515</v>
      </c>
    </row>
    <row r="3" spans="1:30">
      <c r="A3" t="s">
        <v>3</v>
      </c>
      <c r="C3" s="3" t="s">
        <v>4</v>
      </c>
      <c r="D3" s="3" t="s">
        <v>5</v>
      </c>
      <c r="E3" s="3" t="s">
        <v>6</v>
      </c>
      <c r="F3" s="3" t="s">
        <v>7</v>
      </c>
      <c r="H3" s="3" t="s">
        <v>8</v>
      </c>
      <c r="I3" s="3" t="s">
        <v>9</v>
      </c>
      <c r="J3" s="3" t="s">
        <v>10</v>
      </c>
      <c r="K3" s="3" t="s">
        <v>11</v>
      </c>
      <c r="N3" s="3" t="s">
        <v>12</v>
      </c>
      <c r="O3" s="3" t="s">
        <v>13</v>
      </c>
      <c r="R3" s="3" t="s">
        <v>14</v>
      </c>
      <c r="S3" s="5" t="s">
        <v>15</v>
      </c>
      <c r="T3" s="3" t="s">
        <v>16</v>
      </c>
      <c r="U3" s="3" t="s">
        <v>17</v>
      </c>
      <c r="X3" t="s">
        <v>18</v>
      </c>
      <c r="Y3" t="s">
        <v>19</v>
      </c>
      <c r="Z3" t="s">
        <v>20</v>
      </c>
      <c r="AA3" t="s">
        <v>21</v>
      </c>
      <c r="AB3" t="s">
        <v>22</v>
      </c>
      <c r="AD3">
        <v>30240.5314908847</v>
      </c>
    </row>
    <row r="4" spans="1:30">
      <c r="A4">
        <v>-5</v>
      </c>
      <c r="C4" s="3">
        <v>6.7467053539796</v>
      </c>
      <c r="D4" s="3">
        <f>C4-F4</f>
        <v>6.74666752671569</v>
      </c>
      <c r="E4" s="3">
        <f>$AB$4*R4*IF(O4&gt;0,1,0.05)</f>
        <v>0.00378272639122373</v>
      </c>
      <c r="F4" s="3">
        <f>E4*$B$1</f>
        <v>3.78272639122373e-5</v>
      </c>
      <c r="H4" s="3">
        <v>26.2490539208554</v>
      </c>
      <c r="I4" s="3">
        <f>H4-K4</f>
        <v>26.2492430571749</v>
      </c>
      <c r="J4" s="3">
        <f>$AB$4*R4*IF(O4&gt;0,1,0.05)*$A$4</f>
        <v>-0.0189136319561187</v>
      </c>
      <c r="K4" s="3">
        <f>J4*$B$1</f>
        <v>-0.000189136319561187</v>
      </c>
      <c r="N4" s="3">
        <f>$A$4*H4+C4</f>
        <v>-124.498564250297</v>
      </c>
      <c r="O4" s="3">
        <f>IF(N4&gt;0,N4,0.05*N4)</f>
        <v>-6.22492821251486</v>
      </c>
      <c r="R4" s="3">
        <v>25.1158080217259</v>
      </c>
      <c r="S4" s="3">
        <f>R4-U4</f>
        <v>25.1159955307259</v>
      </c>
      <c r="T4" s="3">
        <f>O4*$AB$4</f>
        <v>-0.0187509000009748</v>
      </c>
      <c r="U4" s="3">
        <f>T4*$B$1</f>
        <v>-0.000187509000009748</v>
      </c>
      <c r="X4">
        <f>SUMPRODUCT(O4:O9,R4:R9)+R11</f>
        <v>-4159.39755449827</v>
      </c>
      <c r="Y4">
        <f>IF(X4&gt;0,X4,0.05*X4)</f>
        <v>-207.969877724914</v>
      </c>
      <c r="Z4">
        <v>-208</v>
      </c>
      <c r="AA4">
        <f>(Y4-Z4)^2</f>
        <v>0.000907351456373817</v>
      </c>
      <c r="AB4">
        <f>2*(Y4-Z4)*IF(Y4&gt;0,1,0.05)</f>
        <v>0.00301222750862848</v>
      </c>
      <c r="AD4">
        <v>29049.858216248</v>
      </c>
    </row>
    <row r="5" spans="3:30">
      <c r="C5" s="3">
        <v>3.28334044159291</v>
      </c>
      <c r="D5" s="3">
        <f t="shared" ref="D5:D9" si="0">C5-F5</f>
        <v>3.28326134607972</v>
      </c>
      <c r="E5" s="3">
        <f t="shared" ref="E5:E9" si="1">$AB$4*R5*IF(O5&gt;0,1,0.05)</f>
        <v>0.0079095513193768</v>
      </c>
      <c r="F5" s="3">
        <f t="shared" ref="F5:F9" si="2">E5*$B$1</f>
        <v>7.9095513193768e-5</v>
      </c>
      <c r="H5" s="3">
        <v>53.5150039244888</v>
      </c>
      <c r="I5" s="3">
        <f t="shared" ref="I5:I9" si="3">H5-K5</f>
        <v>53.5153994020548</v>
      </c>
      <c r="J5" s="3">
        <f t="shared" ref="J5:J9" si="4">$AB$4*R5*IF(O5&gt;0,1,0.05)*$A$4</f>
        <v>-0.039547756596884</v>
      </c>
      <c r="K5" s="3">
        <f t="shared" ref="K5:K9" si="5">J5*$B$1</f>
        <v>-0.00039547756596884</v>
      </c>
      <c r="N5" s="3">
        <f t="shared" ref="N5:N9" si="6">$A$4*H5+C5</f>
        <v>-264.291679180851</v>
      </c>
      <c r="O5" s="3">
        <f t="shared" ref="O5:O9" si="7">IF(N5&gt;0,N5,0.05*N5)</f>
        <v>-13.2145839590426</v>
      </c>
      <c r="R5" s="3">
        <v>52.5162943152202</v>
      </c>
      <c r="S5" s="3">
        <f t="shared" ref="S5:S9" si="8">R5-U5</f>
        <v>52.5166923685534</v>
      </c>
      <c r="T5" s="3">
        <f t="shared" ref="T5:T9" si="9">O5*$AB$4</f>
        <v>-0.0398053333165087</v>
      </c>
      <c r="U5" s="3">
        <f t="shared" ref="U5:U11" si="10">T5*$B$1</f>
        <v>-0.000398053333165087</v>
      </c>
      <c r="AD5">
        <v>27810.872676889</v>
      </c>
    </row>
    <row r="6" spans="3:30">
      <c r="C6" s="3">
        <v>-0.163994862644157</v>
      </c>
      <c r="D6" s="3">
        <f t="shared" si="0"/>
        <v>-0.164114812100157</v>
      </c>
      <c r="E6" s="3">
        <f t="shared" si="1"/>
        <v>0.0119949455999401</v>
      </c>
      <c r="F6" s="3">
        <f t="shared" si="2"/>
        <v>0.000119949455999401</v>
      </c>
      <c r="H6" s="3">
        <v>80.5069018850174</v>
      </c>
      <c r="I6" s="3">
        <f t="shared" si="3"/>
        <v>80.5075016322974</v>
      </c>
      <c r="J6" s="3">
        <f t="shared" si="4"/>
        <v>-0.0599747279997006</v>
      </c>
      <c r="K6" s="3">
        <f t="shared" si="5"/>
        <v>-0.000599747279997006</v>
      </c>
      <c r="N6" s="3">
        <f t="shared" si="6"/>
        <v>-402.698504287731</v>
      </c>
      <c r="O6" s="3">
        <f t="shared" si="7"/>
        <v>-20.1349252143866</v>
      </c>
      <c r="R6" s="3">
        <v>79.6416974852049</v>
      </c>
      <c r="S6" s="3">
        <f t="shared" si="8"/>
        <v>79.6423039949611</v>
      </c>
      <c r="T6" s="3">
        <f t="shared" si="9"/>
        <v>-0.0606509756149525</v>
      </c>
      <c r="U6" s="3">
        <f t="shared" si="10"/>
        <v>-0.000606509756149525</v>
      </c>
      <c r="AD6">
        <v>26527.383243269</v>
      </c>
    </row>
    <row r="7" spans="3:30">
      <c r="C7" s="3">
        <v>5.71470073256503</v>
      </c>
      <c r="D7" s="3">
        <f t="shared" si="0"/>
        <v>5.71464615962928</v>
      </c>
      <c r="E7" s="3">
        <f t="shared" si="1"/>
        <v>0.00545729357502309</v>
      </c>
      <c r="F7" s="3">
        <f t="shared" si="2"/>
        <v>5.45729357502309e-5</v>
      </c>
      <c r="H7" s="3">
        <v>41.0812888677999</v>
      </c>
      <c r="I7" s="3">
        <f t="shared" si="3"/>
        <v>41.0815617324786</v>
      </c>
      <c r="J7" s="3">
        <f t="shared" si="4"/>
        <v>-0.0272864678751154</v>
      </c>
      <c r="K7" s="3">
        <f t="shared" si="5"/>
        <v>-0.000272864678751154</v>
      </c>
      <c r="N7" s="3">
        <f t="shared" si="6"/>
        <v>-199.691743606434</v>
      </c>
      <c r="O7" s="3">
        <f t="shared" si="7"/>
        <v>-9.98458718032172</v>
      </c>
      <c r="R7" s="3">
        <v>36.23427220813</v>
      </c>
      <c r="S7" s="3">
        <f t="shared" si="8"/>
        <v>36.2345729666117</v>
      </c>
      <c r="T7" s="3">
        <f t="shared" si="9"/>
        <v>-0.0300758481668644</v>
      </c>
      <c r="U7" s="3">
        <f t="shared" si="10"/>
        <v>-0.000300758481668644</v>
      </c>
      <c r="AD7">
        <v>25204.4242342178</v>
      </c>
    </row>
    <row r="8" spans="3:30">
      <c r="C8" s="3">
        <v>1.98303101776939</v>
      </c>
      <c r="D8" s="3">
        <f t="shared" si="0"/>
        <v>1.98294669982078</v>
      </c>
      <c r="E8" s="3">
        <f t="shared" si="1"/>
        <v>0.00843179486137719</v>
      </c>
      <c r="F8" s="3">
        <f t="shared" si="2"/>
        <v>8.43179486137719e-5</v>
      </c>
      <c r="H8" s="3">
        <v>49.4207661834671</v>
      </c>
      <c r="I8" s="3">
        <f t="shared" si="3"/>
        <v>49.4211877732102</v>
      </c>
      <c r="J8" s="3">
        <f t="shared" si="4"/>
        <v>-0.0421589743068859</v>
      </c>
      <c r="K8" s="3">
        <f t="shared" si="5"/>
        <v>-0.000421589743068859</v>
      </c>
      <c r="N8" s="3">
        <f t="shared" si="6"/>
        <v>-245.120799899566</v>
      </c>
      <c r="O8" s="3">
        <f t="shared" si="7"/>
        <v>-12.2560399949783</v>
      </c>
      <c r="R8" s="3">
        <v>55.9837850044489</v>
      </c>
      <c r="S8" s="3">
        <f t="shared" si="8"/>
        <v>55.9841541842571</v>
      </c>
      <c r="T8" s="3">
        <f t="shared" si="9"/>
        <v>-0.0369179808197246</v>
      </c>
      <c r="U8" s="3">
        <f t="shared" si="10"/>
        <v>-0.000369179808197246</v>
      </c>
      <c r="AD8">
        <v>23848.2456077201</v>
      </c>
    </row>
    <row r="9" spans="3:30">
      <c r="C9" s="3">
        <v>3.33715360055394</v>
      </c>
      <c r="D9" s="3">
        <f t="shared" si="0"/>
        <v>3.33707588691389</v>
      </c>
      <c r="E9" s="3">
        <f t="shared" si="1"/>
        <v>0.00777136400474161</v>
      </c>
      <c r="F9" s="3">
        <f t="shared" si="2"/>
        <v>7.77136400474161e-5</v>
      </c>
      <c r="H9" s="3">
        <v>52.5617590000655</v>
      </c>
      <c r="I9" s="3">
        <f t="shared" si="3"/>
        <v>52.5621475682657</v>
      </c>
      <c r="J9" s="3">
        <f t="shared" si="4"/>
        <v>-0.0388568200237081</v>
      </c>
      <c r="K9" s="3">
        <f t="shared" si="5"/>
        <v>-0.000388568200237081</v>
      </c>
      <c r="N9" s="3">
        <f t="shared" si="6"/>
        <v>-259.471641399774</v>
      </c>
      <c r="O9" s="3">
        <f t="shared" si="7"/>
        <v>-12.9735820699887</v>
      </c>
      <c r="R9" s="3">
        <v>51.5987851679905</v>
      </c>
      <c r="S9" s="3">
        <f t="shared" si="8"/>
        <v>51.5991759617985</v>
      </c>
      <c r="T9" s="3">
        <f t="shared" si="9"/>
        <v>-0.0390793807966692</v>
      </c>
      <c r="U9" s="3">
        <f t="shared" si="10"/>
        <v>-0.000390793807966692</v>
      </c>
      <c r="AD9">
        <v>22466.2559522592</v>
      </c>
    </row>
    <row r="10" spans="18:30">
      <c r="R10" t="s">
        <v>23</v>
      </c>
      <c r="S10" t="s">
        <v>24</v>
      </c>
      <c r="T10" t="s">
        <v>25</v>
      </c>
      <c r="U10" t="s">
        <v>26</v>
      </c>
      <c r="AD10">
        <v>21066.9137445421</v>
      </c>
    </row>
    <row r="11" spans="18:30">
      <c r="R11">
        <v>11.8519826449549</v>
      </c>
      <c r="S11">
        <f>R11-U11</f>
        <v>11.8519525226798</v>
      </c>
      <c r="T11">
        <f>AB4</f>
        <v>0.00301222750862848</v>
      </c>
      <c r="U11" s="3">
        <f t="shared" si="10"/>
        <v>3.01222750862848e-5</v>
      </c>
      <c r="AD11">
        <v>19659.5648466463</v>
      </c>
    </row>
    <row r="12" spans="30:30">
      <c r="AD12">
        <v>18254.2280155175</v>
      </c>
    </row>
    <row r="13" spans="30:30">
      <c r="AD13">
        <v>16861.33450945</v>
      </c>
    </row>
    <row r="14" spans="30:30">
      <c r="AD14">
        <v>15491.4322790182</v>
      </c>
    </row>
    <row r="15" spans="30:30">
      <c r="AD15">
        <v>14154.8692036392</v>
      </c>
    </row>
    <row r="16" spans="30:30">
      <c r="AD16">
        <v>12861.4728303626</v>
      </c>
    </row>
    <row r="17" spans="13:30">
      <c r="M17" t="s">
        <v>27</v>
      </c>
      <c r="AD17">
        <v>11620.245602157</v>
      </c>
    </row>
    <row r="18" spans="30:30">
      <c r="AD18">
        <v>10439.094300553</v>
      </c>
    </row>
    <row r="19" spans="30:30">
      <c r="AD19">
        <v>9324.610278665</v>
      </c>
    </row>
    <row r="20" spans="30:30">
      <c r="AD20">
        <v>8281.91320458816</v>
      </c>
    </row>
    <row r="21" spans="30:30">
      <c r="AD21">
        <v>7314.56590887023</v>
      </c>
    </row>
    <row r="22" spans="30:30">
      <c r="AD22">
        <v>6424.56216001895</v>
      </c>
    </row>
    <row r="23" spans="30:30">
      <c r="AD23">
        <v>5612.38348851459</v>
      </c>
    </row>
    <row r="24" spans="30:30">
      <c r="AD24">
        <v>4877.1162129908</v>
      </c>
    </row>
    <row r="25" spans="30:30">
      <c r="AD25">
        <v>4216.61611397373</v>
      </c>
    </row>
    <row r="26" spans="30:30">
      <c r="AD26">
        <v>3627.70605098972</v>
      </c>
    </row>
    <row r="27" spans="30:30">
      <c r="AD27">
        <v>3106.39128221089</v>
      </c>
    </row>
    <row r="28" spans="30:30">
      <c r="AD28">
        <v>2648.0781545144</v>
      </c>
    </row>
    <row r="29" spans="30:30">
      <c r="AD29">
        <v>2247.78385683794</v>
      </c>
    </row>
    <row r="30" spans="30:30">
      <c r="AD30">
        <v>1900.32765872979</v>
      </c>
    </row>
    <row r="31" spans="30:30">
      <c r="AD31">
        <v>1600.49707055615</v>
      </c>
    </row>
    <row r="32" spans="30:30">
      <c r="AD32">
        <v>1343.18529858876</v>
      </c>
    </row>
    <row r="33" spans="30:30">
      <c r="AD33">
        <v>1123.49895665899</v>
      </c>
    </row>
    <row r="34" spans="30:30">
      <c r="AD34">
        <v>936.837071984287</v>
      </c>
    </row>
    <row r="35" spans="30:30">
      <c r="AD35">
        <v>778.943921545071</v>
      </c>
    </row>
    <row r="36" spans="30:30">
      <c r="AD36">
        <v>645.939172452575</v>
      </c>
    </row>
    <row r="37" spans="30:30">
      <c r="AD37">
        <v>534.329245267494</v>
      </c>
    </row>
    <row r="38" spans="30:30">
      <c r="AD38">
        <v>441.003873028982</v>
      </c>
    </row>
    <row r="39" spans="30:30">
      <c r="AD39">
        <v>363.221599336432</v>
      </c>
    </row>
    <row r="40" spans="30:30">
      <c r="AD40">
        <v>298.587548277387</v>
      </c>
    </row>
    <row r="41" spans="30:30">
      <c r="AD41">
        <v>245.026293895304</v>
      </c>
    </row>
    <row r="42" spans="30:30">
      <c r="AD42">
        <v>200.752124351906</v>
      </c>
    </row>
    <row r="43" spans="30:30">
      <c r="AD43">
        <v>164.23848339436</v>
      </c>
    </row>
    <row r="44" spans="30:30">
      <c r="AD44">
        <v>134.187909097736</v>
      </c>
    </row>
    <row r="45" spans="30:30">
      <c r="AD45">
        <v>109.503392830507</v>
      </c>
    </row>
    <row r="46" spans="30:30">
      <c r="AD46">
        <v>89.2617551229901</v>
      </c>
    </row>
    <row r="47" spans="30:30">
      <c r="AD47">
        <v>72.689377532294</v>
      </c>
    </row>
    <row r="48" spans="30:30">
      <c r="AD48">
        <v>59.1404342214914</v>
      </c>
    </row>
    <row r="49" spans="30:30">
      <c r="AD49">
        <v>48.077625100899</v>
      </c>
    </row>
    <row r="50" spans="30:30">
      <c r="AD50">
        <v>39.0553146176074</v>
      </c>
    </row>
    <row r="51" spans="30:30">
      <c r="AD51">
        <v>31.7049175402302</v>
      </c>
    </row>
    <row r="52" spans="30:30">
      <c r="AD52">
        <v>25.7223371813354</v>
      </c>
    </row>
    <row r="53" spans="30:30">
      <c r="AD53">
        <v>20.8572454191169</v>
      </c>
    </row>
    <row r="54" spans="30:30">
      <c r="AD54">
        <v>16.9039918586948</v>
      </c>
    </row>
    <row r="55" spans="30:30">
      <c r="AD55">
        <v>13.6939369369787</v>
      </c>
    </row>
    <row r="56" spans="30:30">
      <c r="AD56">
        <v>11.0890172072382</v>
      </c>
    </row>
    <row r="57" spans="30:30">
      <c r="AD57">
        <v>8.97636782296041</v>
      </c>
    </row>
    <row r="58" spans="30:30">
      <c r="AD58">
        <v>7.26384549196256</v>
      </c>
    </row>
    <row r="59" spans="30:30">
      <c r="AD59">
        <v>5.87631358797161</v>
      </c>
    </row>
    <row r="60" spans="30:30">
      <c r="AD60">
        <v>4.75256883060931</v>
      </c>
    </row>
    <row r="61" spans="30:30">
      <c r="AD61">
        <v>3.84280545105765</v>
      </c>
    </row>
    <row r="62" spans="30:30">
      <c r="AD62">
        <v>3.1065277657799</v>
      </c>
    </row>
    <row r="63" spans="30:30">
      <c r="AD63">
        <v>2.51083546986621</v>
      </c>
    </row>
    <row r="64" spans="30:30">
      <c r="AD64">
        <v>2.02901773418688</v>
      </c>
    </row>
    <row r="65" spans="30:30">
      <c r="AD65">
        <v>1.63940241895654</v>
      </c>
    </row>
    <row r="66" spans="30:30">
      <c r="AD66">
        <v>1.32441551600082</v>
      </c>
    </row>
    <row r="67" spans="30:30">
      <c r="AD67">
        <v>1.06981344045831</v>
      </c>
    </row>
    <row r="68" spans="30:30">
      <c r="AD68">
        <v>0.864057154852344</v>
      </c>
    </row>
    <row r="69" spans="30:30">
      <c r="AD69">
        <v>0.697802467481658</v>
      </c>
    </row>
    <row r="70" spans="30:30">
      <c r="AD70">
        <v>0.563485338073694</v>
      </c>
    </row>
    <row r="71" spans="30:30">
      <c r="AD71">
        <v>0.454984770637004</v>
      </c>
    </row>
    <row r="72" spans="30:30">
      <c r="AD72">
        <v>0.367348987711421</v>
      </c>
    </row>
    <row r="73" spans="30:30">
      <c r="AD73">
        <v>0.296573159919743</v>
      </c>
    </row>
    <row r="74" spans="30:30">
      <c r="AD74">
        <v>0.239419095376646</v>
      </c>
    </row>
    <row r="75" spans="30:30">
      <c r="AD75">
        <v>0.19326904872395</v>
      </c>
    </row>
    <row r="76" spans="30:30">
      <c r="AD76">
        <v>0.156007252217655</v>
      </c>
    </row>
    <row r="77" spans="30:30">
      <c r="AD77">
        <v>0.12592395466431</v>
      </c>
    </row>
    <row r="78" spans="30:30">
      <c r="AD78">
        <v>0.101637722967417</v>
      </c>
    </row>
    <row r="79" spans="30:30">
      <c r="AD79">
        <v>0.0820325532014849</v>
      </c>
    </row>
    <row r="80" spans="30:30">
      <c r="AD80">
        <v>0.0662069848311093</v>
      </c>
    </row>
    <row r="81" spans="30:30">
      <c r="AD81">
        <v>0.0534329389944416</v>
      </c>
    </row>
    <row r="82" spans="30:30">
      <c r="AD82">
        <v>0.0431224312375516</v>
      </c>
    </row>
    <row r="83" spans="30:30">
      <c r="AD83">
        <v>0.0348006585280927</v>
      </c>
    </row>
    <row r="84" spans="30:30">
      <c r="AD84">
        <v>0.0280842444551484</v>
      </c>
    </row>
    <row r="85" spans="30:30">
      <c r="AD85">
        <v>0.0226636572799235</v>
      </c>
    </row>
    <row r="86" spans="30:30">
      <c r="AD86">
        <v>0.018289002818589</v>
      </c>
    </row>
    <row r="87" spans="30:30">
      <c r="AD87">
        <v>0.0147585460944025</v>
      </c>
    </row>
    <row r="88" spans="30:30">
      <c r="AD88">
        <v>0.0119094388990781</v>
      </c>
    </row>
    <row r="89" spans="30:30">
      <c r="AD89">
        <v>0.00961023024251286</v>
      </c>
    </row>
    <row r="90" spans="30:30">
      <c r="AD90">
        <v>0.00775481754109417</v>
      </c>
    </row>
    <row r="91" spans="30:30">
      <c r="AD91">
        <v>0.00625756187372064</v>
      </c>
    </row>
    <row r="92" spans="30:30">
      <c r="AD92">
        <v>0.00504934363300357</v>
      </c>
    </row>
    <row r="93" spans="30:30">
      <c r="AD93">
        <v>0.00407437778203178</v>
      </c>
    </row>
    <row r="94" spans="30:30">
      <c r="AD94">
        <v>0.00328764261344284</v>
      </c>
    </row>
    <row r="95" spans="30:30">
      <c r="AD95">
        <v>0.00265280395991919</v>
      </c>
    </row>
    <row r="96" spans="30:30">
      <c r="AD96">
        <v>0.00214053948334781</v>
      </c>
    </row>
    <row r="97" spans="30:30">
      <c r="AD97">
        <v>0.00172718600306512</v>
      </c>
    </row>
    <row r="98" spans="30:30">
      <c r="AD98">
        <v>0.00139364763887455</v>
      </c>
    </row>
    <row r="99" spans="30:30">
      <c r="AD99">
        <v>0.00112451451665781</v>
      </c>
    </row>
    <row r="100" spans="30:30">
      <c r="AD100">
        <v>0.000907351456373817</v>
      </c>
    </row>
  </sheetData>
  <mergeCells count="2">
    <mergeCell ref="C2:K2"/>
    <mergeCell ref="R2:AB2"/>
  </mergeCells>
  <pageMargins left="0.7" right="0.7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name="Button 13" r:id="rId3">
              <controlPr print="0" defaultSize="0">
                <anchor moveWithCells="1" sizeWithCells="1">
                  <from>
                    <xdr:col>1</xdr:col>
                    <xdr:colOff>53340</xdr:colOff>
                    <xdr:row>11</xdr:row>
                    <xdr:rowOff>53340</xdr:rowOff>
                  </from>
                  <to>
                    <xdr:col>2</xdr:col>
                    <xdr:colOff>259080</xdr:colOff>
                    <xdr:row>13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funincode</dc:creator>
  <cp:lastModifiedBy>犰犰</cp:lastModifiedBy>
  <dcterms:created xsi:type="dcterms:W3CDTF">2015-06-05T18:17:00Z</dcterms:created>
  <dcterms:modified xsi:type="dcterms:W3CDTF">2021-04-09T03:22:03Z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C71406113C8B4DCD878EE1D8698D0227</vt:lpwstr>
  </property>
  <property fmtid="{D5CDD505-2E9C-101B-9397-08002B2CF9AE}" pid="3" name="KSOProductBuildVer">
    <vt:lpwstr>2052-11.1.0.10446</vt:lpwstr>
  </property>
</Properties>
</file>